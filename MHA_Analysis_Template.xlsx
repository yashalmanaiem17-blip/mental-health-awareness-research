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_Data" sheetId="2" state="visible" r:id="rId4"/>
    <sheet name="Analysis" sheetId="3" state="visible" r:id="rId5"/>
    <sheet name="Demographics" sheetId="4" state="visible" r:id="rId6"/>
    <sheet name="Barriers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<sst xmlns="http://schemas.openxmlformats.org/spreadsheetml/2006/main" count="188" uniqueCount="149">
  <si>
    <t xml:space="preserve">Mental Health Awareness Research: Analysis Workbook</t>
  </si>
  <si>
    <t xml:space="preserve">Author: Yashal Manaiem Javaid  |  Group 43  |  SafeX Solutions Research Project, Week 2</t>
  </si>
  <si>
    <t xml:space="preserve">ABOUT THIS WORKBOOK</t>
  </si>
  <si>
    <t xml:space="preserve">This workbook contains the pilot survey responses collected for the Mental Health</t>
  </si>
  <si>
    <t xml:space="preserve">Awareness Research module, along with an automated analysis pipeline.</t>
  </si>
  <si>
    <t xml:space="preserve">The pilot sample is N = 3 respondents. The workbook is framed as a pilot: it validates</t>
  </si>
  <si>
    <t xml:space="preserve">the survey instrument and the analysis pipeline, and produces preliminary observations</t>
  </si>
  <si>
    <t xml:space="preserve">that direct the proposal in the written report.</t>
  </si>
  <si>
    <t xml:space="preserve">TABS</t>
  </si>
  <si>
    <t xml:space="preserve">  Instructions   -  this tab</t>
  </si>
  <si>
    <t xml:space="preserve">  Raw_Data       -  the 3 responses as exported from Google Forms, with Likert</t>
  </si>
  <si>
    <t xml:space="preserve">                    answers converted from text to 1-5 numeric values</t>
  </si>
  <si>
    <t xml:space="preserve">  Analysis       -  descriptive statistics for the 4 Likert items (Q8, Q9, Q10, Q11)</t>
  </si>
  <si>
    <t xml:space="preserve">  Demographics   -  frequency tables for education, field, and gender</t>
  </si>
  <si>
    <t xml:space="preserve">  Barriers       -  frequency table for the primary-barrier question (Q12)</t>
  </si>
  <si>
    <t xml:space="preserve">  Summary        -  headline numbers referenced by the written report</t>
  </si>
  <si>
    <t xml:space="preserve">LIKERT SCALE (Q8, Q9, Q10, Q11)</t>
  </si>
  <si>
    <t xml:space="preserve">  1 = Strongly disagree</t>
  </si>
  <si>
    <t xml:space="preserve">  2 = Disagree</t>
  </si>
  <si>
    <t xml:space="preserve">  3 = Neutral</t>
  </si>
  <si>
    <t xml:space="preserve">  4 = Agree</t>
  </si>
  <si>
    <t xml:space="preserve">  5 = Strongly agree</t>
  </si>
  <si>
    <t xml:space="preserve">Q6 (self-rated awareness) is also on a 1-5 scale, but was answered directly as a number</t>
  </si>
  <si>
    <t xml:space="preserve">in the Google Form, so no conversion was needed.</t>
  </si>
  <si>
    <t xml:space="preserve">TO SCALE TO A LARGER SAMPLE LATER</t>
  </si>
  <si>
    <t xml:space="preserve">  1. Paste additional responses into the Raw_Data tab starting at column A</t>
  </si>
  <si>
    <t xml:space="preserve">  2. Convert any text Likert answers to numeric 1-5 in columns I, J, K, L</t>
  </si>
  <si>
    <t xml:space="preserve">  3. Press F9 to recalculate. All other tabs update automatically.</t>
  </si>
  <si>
    <t xml:space="preserve">Timestamp</t>
  </si>
  <si>
    <t xml:space="preserve">Q1_Education</t>
  </si>
  <si>
    <t xml:space="preserve">Q2_Field</t>
  </si>
  <si>
    <t xml:space="preserve">Q3_Gender</t>
  </si>
  <si>
    <t xml:space="preserve">Q4_HasSupport</t>
  </si>
  <si>
    <t xml:space="preserve">Q5_HowFoundOut</t>
  </si>
  <si>
    <t xml:space="preserve">Q6_SelfAwareness_1to5</t>
  </si>
  <si>
    <t xml:space="preserve">Q7_TopicsSeen</t>
  </si>
  <si>
    <t xml:space="preserve">Q8_ComfortFriend_1to5</t>
  </si>
  <si>
    <t xml:space="preserve">Q9_HelpSeenAsWeakness_1to5</t>
  </si>
  <si>
    <t xml:space="preserve">Q10_ComfortCounsellingService_1to5</t>
  </si>
  <si>
    <t xml:space="preserve">Q11_OpenlyDiscussed_1to5</t>
  </si>
  <si>
    <t xml:space="preserve">Q12_PrimaryBarrier</t>
  </si>
  <si>
    <t xml:space="preserve">Q13_BiggestGap</t>
  </si>
  <si>
    <t xml:space="preserve">Q14_PreferredFormat</t>
  </si>
  <si>
    <t xml:space="preserve">Q15_PeerInterest</t>
  </si>
  <si>
    <t xml:space="preserve">Q16_Suggestions</t>
  </si>
  <si>
    <t xml:space="preserve">2026-07-17 01:39:23</t>
  </si>
  <si>
    <t xml:space="preserve">Other</t>
  </si>
  <si>
    <t xml:space="preserve">Engineering / Technology</t>
  </si>
  <si>
    <t xml:space="preserve">Male</t>
  </si>
  <si>
    <t xml:space="preserve">Yes</t>
  </si>
  <si>
    <t xml:space="preserve">Faculty/advisor mentioned it</t>
  </si>
  <si>
    <t xml:space="preserve">Anxiety/depression awareness</t>
  </si>
  <si>
    <t xml:space="preserve">Fear of being judged by peers</t>
  </si>
  <si>
    <t xml:space="preserve">Lack of awareness </t>
  </si>
  <si>
    <t xml:space="preserve">Anonymous helpline/chat</t>
  </si>
  <si>
    <t xml:space="preserve">Somewhat interested</t>
  </si>
  <si>
    <t xml:space="preserve">No suggestions. Keep up the good work </t>
  </si>
  <si>
    <t xml:space="preserve">2026-07-17 02:01:04</t>
  </si>
  <si>
    <t xml:space="preserve">High school / A-Levels</t>
  </si>
  <si>
    <t xml:space="preserve">Business / Management</t>
  </si>
  <si>
    <t xml:space="preserve">Female</t>
  </si>
  <si>
    <t xml:space="preserve">Not sure</t>
  </si>
  <si>
    <t xml:space="preserve">I haven't found out about it</t>
  </si>
  <si>
    <t xml:space="preserve">Stress management</t>
  </si>
  <si>
    <t xml:space="preserve">Reactive crisis care instead of early prevention and proactive support.</t>
  </si>
  <si>
    <t xml:space="preserve">Implement proactive, early intervention systems rather than waiting for crises to escalate.</t>
  </si>
  <si>
    <t xml:space="preserve">2026-07-17 07:04:40</t>
  </si>
  <si>
    <t xml:space="preserve">Undergraduate (3rd–4th year)</t>
  </si>
  <si>
    <t xml:space="preserve">Social Sciences / Humanities</t>
  </si>
  <si>
    <t xml:space="preserve">Orientation/induction session</t>
  </si>
  <si>
    <t xml:space="preserve">Sleep and wellbeing</t>
  </si>
  <si>
    <t xml:space="preserve">Cost/financial concerns</t>
  </si>
  <si>
    <t xml:space="preserve">Not enough time given to students in sessions, and since I'm in psychology most of the counsellors there are our teachers which creates bias within classrooms.</t>
  </si>
  <si>
    <t xml:space="preserve">Social media content (Instagram/TikTok style)</t>
  </si>
  <si>
    <t xml:space="preserve">Yes, very interested</t>
  </si>
  <si>
    <t xml:space="preserve">Provide ongoing seminars about the importance of mental health.if</t>
  </si>
  <si>
    <t xml:space="preserve">Likert Item Analysis (Q6, Q8, Q9, Q10, Q11)</t>
  </si>
  <si>
    <t xml:space="preserve">Question ID</t>
  </si>
  <si>
    <t xml:space="preserve">Question Summary</t>
  </si>
  <si>
    <t xml:space="preserve">N</t>
  </si>
  <si>
    <t xml:space="preserve">Mean</t>
  </si>
  <si>
    <t xml:space="preserve">Median</t>
  </si>
  <si>
    <t xml:space="preserve">Mode</t>
  </si>
  <si>
    <t xml:space="preserve">% Agree/Strongly Agree</t>
  </si>
  <si>
    <t xml:space="preserve">% Disagree/Strongly Disagree</t>
  </si>
  <si>
    <t xml:space="preserve">Q6</t>
  </si>
  <si>
    <t xml:space="preserve">Self-rated awareness of mental health resources</t>
  </si>
  <si>
    <t xml:space="preserve">Q8</t>
  </si>
  <si>
    <t xml:space="preserve">Comfort telling a friend about struggling</t>
  </si>
  <si>
    <t xml:space="preserve">Q9</t>
  </si>
  <si>
    <t xml:space="preserve">Help-seeking seen as a sign of weakness</t>
  </si>
  <si>
    <t xml:space="preserve">Q10</t>
  </si>
  <si>
    <t xml:space="preserve">Comfort using university counselling service</t>
  </si>
  <si>
    <t xml:space="preserve">Q11</t>
  </si>
  <si>
    <t xml:space="preserve">Mental health discussed openly in dept/class</t>
  </si>
  <si>
    <t xml:space="preserve">Likert Response Distribution (counts)</t>
  </si>
  <si>
    <t xml:space="preserve">Strongly Disagree (1)</t>
  </si>
  <si>
    <t xml:space="preserve">Disagree (2)</t>
  </si>
  <si>
    <t xml:space="preserve">Neutral (3)</t>
  </si>
  <si>
    <t xml:space="preserve">Agree (4)</t>
  </si>
  <si>
    <t xml:space="preserve">Strongly Agree (5)</t>
  </si>
  <si>
    <t xml:space="preserve">Total</t>
  </si>
  <si>
    <t xml:space="preserve">Demographic Distributions</t>
  </si>
  <si>
    <t xml:space="preserve">Q1: Level of Education</t>
  </si>
  <si>
    <t xml:space="preserve">Category</t>
  </si>
  <si>
    <t xml:space="preserve">Count</t>
  </si>
  <si>
    <t xml:space="preserve">Percentage</t>
  </si>
  <si>
    <t xml:space="preserve">Undergraduate (1st–2nd year)</t>
  </si>
  <si>
    <t xml:space="preserve">Postgraduate (Masters/PhD)</t>
  </si>
  <si>
    <t xml:space="preserve">Prefer not to say</t>
  </si>
  <si>
    <t xml:space="preserve">Q2: Academic Field</t>
  </si>
  <si>
    <t xml:space="preserve">Sciences</t>
  </si>
  <si>
    <t xml:space="preserve">Q3: Gender</t>
  </si>
  <si>
    <t xml:space="preserve">Barriers to Seeking Help: Frequency (Q12)</t>
  </si>
  <si>
    <t xml:space="preserve">Barrier</t>
  </si>
  <si>
    <t xml:space="preserve">Fear of it affecting academic record/reputation</t>
  </si>
  <si>
    <t xml:space="preserve">Don't know where to go</t>
  </si>
  <si>
    <t xml:space="preserve">Don't think it would help</t>
  </si>
  <si>
    <t xml:space="preserve">Lack of time</t>
  </si>
  <si>
    <t xml:space="preserve">Cultural/family attitudes</t>
  </si>
  <si>
    <t xml:space="preserve">No barrier, I would seek help</t>
  </si>
  <si>
    <t xml:space="preserve">Preferred Campaign Format: Frequency (Q14)</t>
  </si>
  <si>
    <t xml:space="preserve">Format</t>
  </si>
  <si>
    <t xml:space="preserve">In-person workshops/talks</t>
  </si>
  <si>
    <t xml:space="preserve">Peer support groups</t>
  </si>
  <si>
    <t xml:space="preserve">Printed materials (posters, brochures)</t>
  </si>
  <si>
    <t xml:space="preserve">Guest speaker events</t>
  </si>
  <si>
    <t xml:space="preserve">Headline Numbers (referenced by the written report)</t>
  </si>
  <si>
    <t xml:space="preserve">Metric</t>
  </si>
  <si>
    <t xml:space="preserve">Value</t>
  </si>
  <si>
    <t xml:space="preserve">Notes</t>
  </si>
  <si>
    <t xml:space="preserve">Total valid responses (N)</t>
  </si>
  <si>
    <t xml:space="preserve">Count of Timestamp entries</t>
  </si>
  <si>
    <t xml:space="preserve">% institution has support (Yes)</t>
  </si>
  <si>
    <t xml:space="preserve">Q4: Yes</t>
  </si>
  <si>
    <t xml:space="preserve">% institution has support (Not sure)</t>
  </si>
  <si>
    <t xml:space="preserve">Q4: Not sure</t>
  </si>
  <si>
    <t xml:space="preserve">Mean self-rated awareness (Q6)</t>
  </si>
  <si>
    <t xml:space="preserve">1-5 scale</t>
  </si>
  <si>
    <t xml:space="preserve">% comfortable telling a friend (Q8, Agree/SA)</t>
  </si>
  <si>
    <t xml:space="preserve">% Agree or Strongly Agree</t>
  </si>
  <si>
    <t xml:space="preserve">% agree help-seeking seen as weakness (Q9)</t>
  </si>
  <si>
    <t xml:space="preserve">% Agree or Strongly Agree (stigma marker)</t>
  </si>
  <si>
    <t xml:space="preserve">% comfortable using counselling service (Q10)</t>
  </si>
  <si>
    <t xml:space="preserve">% openly discussed in dept/class (Q11)</t>
  </si>
  <si>
    <t xml:space="preserve">Top barrier count (Q12)</t>
  </si>
  <si>
    <t xml:space="preserve">Highest barrier count</t>
  </si>
  <si>
    <t xml:space="preserve">Top preferred format count (Q14)</t>
  </si>
  <si>
    <t xml:space="preserve">Highest format count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</si>
</sst>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Likert Score per Item (1-5)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Analysis!$A$4:$A$8</c:f>
              <c:strCache>
                <c:ptCount val="5"/>
                <c:pt idx="0">
                  <c:v>Q6</c:v>
                </c:pt>
                <c:pt idx="1">
                  <c:v>Q8</c:v>
                </c:pt>
                <c:pt idx="2">
                  <c:v>Q9</c:v>
                </c:pt>
                <c:pt idx="3">
                  <c:v>Q10</c:v>
                </c:pt>
                <c:pt idx="4">
                  <c:v>Q11</c:v>
                </c:pt>
              </c:strCache>
            </c:strRef>
          </c:cat>
          <c:val>
            <c:numRef>
              <c:f>Analysis!$D$4:$D$8</c:f>
              <c:numCache>
                <c:formatCode>0.00</c:formatCode>
                <c:ptCount val="5"/>
                <c:pt idx="0">
                  <c:v>3</c:v>
                </c:pt>
                <c:pt idx="1">
                  <c:v>3.66666666666667</c:v>
                </c:pt>
                <c:pt idx="2">
                  <c:v>3.33333333333333</c:v>
                </c:pt>
                <c:pt idx="3">
                  <c:v>3.33333333333333</c:v>
                </c:pt>
                <c:pt idx="4">
                  <c:v>3.66666666666667</c:v>
                </c:pt>
              </c:numCache>
            </c:numRef>
          </c:val>
        </c:ser>
        <c:gapWidth val="150"/>
        <c:overlap val="0"/>
        <c:axId val="12073858"/>
        <c:axId val="51227725"/>
      </c:barChart>
      <c:catAx>
        <c:axId val="120738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27725"/>
        <c:crosses val="autoZero"/>
        <c:auto val="1"/>
        <c:lblAlgn val="ctr"/>
        <c:lblOffset val="100"/>
        <c:noMultiLvlLbl val="0"/>
      </c:catAx>
      <c:valAx>
        <c:axId val="512277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738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Primary Barrier to Seeking Help (Q12)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Barriers!B3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Barriers!$A$4:$A$11</c:f>
              <c:strCache>
                <c:ptCount val="8"/>
                <c:pt idx="0">
                  <c:v>Fear of being judged by peers</c:v>
                </c:pt>
                <c:pt idx="1">
                  <c:v>Fear of it affecting academic record/reputation</c:v>
                </c:pt>
                <c:pt idx="2">
                  <c:v>Don't know where to go</c:v>
                </c:pt>
                <c:pt idx="3">
                  <c:v>Don't think it would help</c:v>
                </c:pt>
                <c:pt idx="4">
                  <c:v>Cost/financial concerns</c:v>
                </c:pt>
                <c:pt idx="5">
                  <c:v>Lack of time</c:v>
                </c:pt>
                <c:pt idx="6">
                  <c:v>Cultural/family attitudes</c:v>
                </c:pt>
                <c:pt idx="7">
                  <c:v>No barrier, I would seek help</c:v>
                </c:pt>
              </c:strCache>
            </c:strRef>
          </c:cat>
          <c:val>
            <c:numRef>
              <c:f>Barriers!$B$4:$B$11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55609314"/>
        <c:axId val="36174546"/>
      </c:barChart>
      <c:catAx>
        <c:axId val="556093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Barrier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74546"/>
        <c:crosses val="autoZero"/>
        <c:auto val="1"/>
        <c:lblAlgn val="ctr"/>
        <c:lblOffset val="100"/>
        <c:noMultiLvlLbl val="0"/>
      </c:catAx>
      <c:valAx>
        <c:axId val="36174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093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20520</xdr:rowOff>
    </xdr:from>
    <xdr:to>
      <xdr:col>4</xdr:col>
      <xdr:colOff>699480</xdr:colOff>
      <xdr:row>36</xdr:row>
      <xdr:rowOff>21240</xdr:rowOff>
    </xdr:to>
    <xdr:graphicFrame>
      <xdr:nvGraphicFramePr>
        <xdr:cNvPr id="0" name="Chart 1"/>
        <xdr:cNvGraphicFramePr/>
      </xdr:nvGraphicFramePr>
      <xdr:xfrm>
        <a:off x="0" y="39830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14</xdr:col>
      <xdr:colOff>364320</xdr:colOff>
      <xdr:row>20</xdr:row>
      <xdr:rowOff>110520</xdr:rowOff>
    </xdr:to>
    <xdr:graphicFrame>
      <xdr:nvGraphicFramePr>
        <xdr:cNvPr id="1" name="Chart 1"/>
        <xdr:cNvGraphicFramePr/>
      </xdr:nvGraphicFramePr>
      <xdr:xfrm>
        <a:off x="5897880" y="379800"/>
        <a:ext cx="6479280" cy="359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3" t="s">
        <v>3</v>
      </c>
    </row>
    <row r="8" customFormat="false" ht="15" hidden="false" customHeight="true" outlineLevel="0" collapsed="false">
      <c r="A8" s="3" t="s">
        <v>4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3" t="s">
        <v>5</v>
      </c>
    </row>
    <row r="11" customFormat="false" ht="15" hidden="false" customHeight="true" outlineLevel="0" collapsed="false">
      <c r="A11" s="3" t="s">
        <v>6</v>
      </c>
    </row>
    <row r="12" customFormat="false" ht="15" hidden="false" customHeight="true" outlineLevel="0" collapsed="false">
      <c r="A12" s="3" t="s">
        <v>7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4" t="s">
        <v>8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3" t="s">
        <v>9</v>
      </c>
    </row>
    <row r="17" customFormat="false" ht="15" hidden="false" customHeight="true" outlineLevel="0" collapsed="false">
      <c r="A17" s="3" t="s">
        <v>10</v>
      </c>
    </row>
    <row r="18" customFormat="false" ht="15" hidden="false" customHeight="true" outlineLevel="0" collapsed="false">
      <c r="A18" s="3" t="s">
        <v>11</v>
      </c>
    </row>
    <row r="19" customFormat="false" ht="15" hidden="false" customHeight="true" outlineLevel="0" collapsed="false">
      <c r="A19" s="3" t="s">
        <v>12</v>
      </c>
    </row>
    <row r="20" customFormat="false" ht="15" hidden="false" customHeight="true" outlineLevel="0" collapsed="false">
      <c r="A20" s="3" t="s">
        <v>13</v>
      </c>
    </row>
    <row r="21" customFormat="false" ht="15" hidden="false" customHeight="true" outlineLevel="0" collapsed="false">
      <c r="A21" s="3" t="s">
        <v>14</v>
      </c>
    </row>
    <row r="22" customFormat="false" ht="15" hidden="false" customHeight="true" outlineLevel="0" collapsed="false">
      <c r="A22" s="3" t="s">
        <v>15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4" t="s">
        <v>16</v>
      </c>
    </row>
    <row r="25" customFormat="false" ht="15" hidden="false" customHeight="true" outlineLevel="0" collapsed="false">
      <c r="A25" s="3"/>
    </row>
    <row r="26" customFormat="false" ht="15" hidden="false" customHeight="true" outlineLevel="0" collapsed="false">
      <c r="A26" s="3" t="s">
        <v>17</v>
      </c>
    </row>
    <row r="27" customFormat="false" ht="15" hidden="false" customHeight="true" outlineLevel="0" collapsed="false">
      <c r="A27" s="3" t="s">
        <v>18</v>
      </c>
    </row>
    <row r="28" customFormat="false" ht="15" hidden="false" customHeight="true" outlineLevel="0" collapsed="false">
      <c r="A28" s="3" t="s">
        <v>19</v>
      </c>
    </row>
    <row r="29" customFormat="false" ht="15" hidden="false" customHeight="true" outlineLevel="0" collapsed="false">
      <c r="A29" s="3" t="s">
        <v>20</v>
      </c>
    </row>
    <row r="30" customFormat="false" ht="15" hidden="false" customHeight="true" outlineLevel="0" collapsed="false">
      <c r="A30" s="3" t="s">
        <v>21</v>
      </c>
    </row>
    <row r="31" customFormat="false" ht="15" hidden="false" customHeight="true" outlineLevel="0" collapsed="false">
      <c r="A31" s="3"/>
    </row>
    <row r="32" customFormat="false" ht="15" hidden="false" customHeight="true" outlineLevel="0" collapsed="false">
      <c r="A32" s="3" t="s">
        <v>22</v>
      </c>
    </row>
    <row r="33" customFormat="false" ht="15" hidden="false" customHeight="true" outlineLevel="0" collapsed="false">
      <c r="A33" s="3" t="s">
        <v>23</v>
      </c>
    </row>
    <row r="34" customFormat="false" ht="15" hidden="false" customHeight="true" outlineLevel="0" collapsed="false">
      <c r="A34" s="3"/>
    </row>
    <row r="35" customFormat="false" ht="15" hidden="false" customHeight="true" outlineLevel="0" collapsed="false">
      <c r="A35" s="4" t="s">
        <v>24</v>
      </c>
    </row>
    <row r="36" customFormat="false" ht="15" hidden="false" customHeight="true" outlineLevel="0" collapsed="false">
      <c r="A36" s="3"/>
    </row>
    <row r="37" customFormat="false" ht="15" hidden="false" customHeight="true" outlineLevel="0" collapsed="false">
      <c r="A37" s="3" t="s">
        <v>25</v>
      </c>
    </row>
    <row r="38" customFormat="false" ht="15" hidden="false" customHeight="true" outlineLevel="0" collapsed="false">
      <c r="A38" s="3" t="s">
        <v>26</v>
      </c>
    </row>
    <row r="39" customFormat="false" ht="15" hidden="false" customHeight="true" outlineLevel="0" collapsed="false">
      <c r="A39" s="3" t="s">
        <v>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26"/>
    <col collapsed="false" customWidth="true" hidden="false" outlineLevel="0" max="9" min="9" style="1" width="20"/>
    <col collapsed="false" customWidth="true" hidden="false" outlineLevel="0" max="10" min="10" style="1" width="22"/>
    <col collapsed="false" customWidth="true" hidden="false" outlineLevel="0" max="11" min="11" style="1" width="26"/>
    <col collapsed="false" customWidth="true" hidden="false" outlineLevel="0" max="12" min="12" style="1" width="22"/>
    <col collapsed="false" customWidth="true" hidden="false" outlineLevel="0" max="13" min="13" style="1" width="32"/>
    <col collapsed="false" customWidth="true" hidden="false" outlineLevel="0" max="14" min="14" style="1" width="40"/>
    <col collapsed="false" customWidth="true" hidden="false" outlineLevel="0" max="15" min="15" style="1" width="30"/>
    <col collapsed="false" customWidth="true" hidden="false" outlineLevel="0" max="16" min="16" style="1" width="22"/>
    <col collapsed="false" customWidth="true" hidden="false" outlineLevel="0" max="17" min="17" style="1" width="40"/>
  </cols>
  <sheetData>
    <row r="1" customFormat="false" ht="26.25" hidden="false" customHeight="tru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</row>
    <row r="2" customFormat="false" ht="15" hidden="false" customHeight="true" outlineLevel="0" collapsed="false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n">
        <v>4</v>
      </c>
      <c r="H2" s="1" t="s">
        <v>51</v>
      </c>
      <c r="I2" s="1" t="n">
        <v>4</v>
      </c>
      <c r="J2" s="1" t="n">
        <v>4</v>
      </c>
      <c r="K2" s="1" t="n">
        <v>4</v>
      </c>
      <c r="L2" s="1" t="n">
        <v>4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</row>
    <row r="3" customFormat="false" ht="15" hidden="false" customHeight="true" outlineLevel="0" collapsed="false">
      <c r="A3" s="1" t="s">
        <v>57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  <c r="G3" s="1" t="n">
        <v>2</v>
      </c>
      <c r="H3" s="1" t="s">
        <v>63</v>
      </c>
      <c r="I3" s="1" t="n">
        <v>3</v>
      </c>
      <c r="J3" s="1" t="n">
        <v>4</v>
      </c>
      <c r="K3" s="1" t="n">
        <v>3</v>
      </c>
      <c r="L3" s="1" t="n">
        <v>2</v>
      </c>
      <c r="M3" s="1" t="s">
        <v>52</v>
      </c>
      <c r="N3" s="1" t="s">
        <v>64</v>
      </c>
      <c r="O3" s="1" t="s">
        <v>54</v>
      </c>
      <c r="P3" s="1" t="s">
        <v>61</v>
      </c>
      <c r="Q3" s="1" t="s">
        <v>65</v>
      </c>
    </row>
    <row r="4" customFormat="false" ht="15" hidden="false" customHeight="true" outlineLevel="0" collapsed="false">
      <c r="A4" s="1" t="s">
        <v>66</v>
      </c>
      <c r="B4" s="1" t="s">
        <v>67</v>
      </c>
      <c r="C4" s="1" t="s">
        <v>68</v>
      </c>
      <c r="D4" s="1" t="s">
        <v>60</v>
      </c>
      <c r="E4" s="1" t="s">
        <v>49</v>
      </c>
      <c r="F4" s="1" t="s">
        <v>69</v>
      </c>
      <c r="G4" s="1" t="n">
        <v>3</v>
      </c>
      <c r="H4" s="1" t="s">
        <v>70</v>
      </c>
      <c r="I4" s="1" t="n">
        <v>4</v>
      </c>
      <c r="J4" s="1" t="n">
        <v>2</v>
      </c>
      <c r="K4" s="1" t="n">
        <v>3</v>
      </c>
      <c r="L4" s="1" t="n">
        <v>5</v>
      </c>
      <c r="M4" s="1" t="s">
        <v>71</v>
      </c>
      <c r="N4" s="1" t="s">
        <v>72</v>
      </c>
      <c r="O4" s="1" t="s">
        <v>73</v>
      </c>
      <c r="P4" s="1" t="s">
        <v>74</v>
      </c>
      <c r="Q4" s="1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0"/>
    <col collapsed="false" customWidth="true" hidden="false" outlineLevel="0" max="3" min="3" style="1" width="8"/>
    <col collapsed="false" customWidth="true" hidden="false" outlineLevel="0" max="6" min="4" style="1" width="10"/>
    <col collapsed="false" customWidth="true" hidden="false" outlineLevel="0" max="7" min="7" style="1" width="22"/>
    <col collapsed="false" customWidth="true" hidden="false" outlineLevel="0" max="8" min="8" style="1" width="26"/>
  </cols>
  <sheetData>
    <row r="1" customFormat="false" ht="17.25" hidden="false" customHeight="true" outlineLevel="0" collapsed="false">
      <c r="A1" s="2" t="s">
        <v>76</v>
      </c>
      <c r="B1" s="2"/>
      <c r="C1" s="2"/>
      <c r="D1" s="2"/>
      <c r="E1" s="2"/>
      <c r="F1" s="2"/>
      <c r="G1" s="2"/>
      <c r="H1" s="2"/>
    </row>
    <row r="3" customFormat="false" ht="26.25" hidden="false" customHeight="true" outlineLevel="0" collapsed="false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83</v>
      </c>
      <c r="H3" s="5" t="s">
        <v>84</v>
      </c>
    </row>
    <row r="4" customFormat="false" ht="15" hidden="false" customHeight="true" outlineLevel="0" collapsed="false">
      <c r="A4" s="6" t="s">
        <v>85</v>
      </c>
      <c r="B4" s="7" t="s">
        <v>86</v>
      </c>
      <c r="C4" s="8" t="n">
        <f aca="false">COUNT(Raw_Data!G2:G1000)</f>
        <v>3</v>
      </c>
      <c r="D4" s="9" t="n">
        <f aca="false">IFERROR(AVERAGE(Raw_Data!G2:G1000),"-")</f>
        <v>3</v>
      </c>
      <c r="E4" s="9" t="n">
        <f aca="false">IFERROR(MEDIAN(Raw_Data!G2:G1000),"-")</f>
        <v>3</v>
      </c>
      <c r="F4" s="8" t="str">
        <f aca="false">IFERROR(MODE(Raw_Data!G2:G1000),"-")</f>
        <v>-</v>
      </c>
      <c r="G4" s="10" t="n">
        <f aca="false">IFERROR((COUNTIF(Raw_Data!G2:G1000,4)+COUNTIF(Raw_Data!G2:G1000,5))/COUNT(Raw_Data!G2:G1000),"-")</f>
        <v>0.333333333333333</v>
      </c>
      <c r="H4" s="10" t="n">
        <f aca="false">IFERROR((COUNTIF(Raw_Data!G2:G1000,1)+COUNTIF(Raw_Data!G2:G1000,2))/COUNT(Raw_Data!G2:G1000),"-")</f>
        <v>0.333333333333333</v>
      </c>
    </row>
    <row r="5" customFormat="false" ht="15" hidden="false" customHeight="true" outlineLevel="0" collapsed="false">
      <c r="A5" s="6" t="s">
        <v>87</v>
      </c>
      <c r="B5" s="7" t="s">
        <v>88</v>
      </c>
      <c r="C5" s="8" t="n">
        <f aca="false">COUNT(Raw_Data!I2:I1000)</f>
        <v>3</v>
      </c>
      <c r="D5" s="9" t="n">
        <f aca="false">IFERROR(AVERAGE(Raw_Data!I2:I1000),"-")</f>
        <v>3.66666666666667</v>
      </c>
      <c r="E5" s="9" t="n">
        <f aca="false">IFERROR(MEDIAN(Raw_Data!I2:I1000),"-")</f>
        <v>4</v>
      </c>
      <c r="F5" s="8" t="n">
        <f aca="false">IFERROR(MODE(Raw_Data!I2:I1000),"-")</f>
        <v>4</v>
      </c>
      <c r="G5" s="10" t="n">
        <f aca="false">IFERROR((COUNTIF(Raw_Data!I2:I1000,4)+COUNTIF(Raw_Data!I2:I1000,5))/COUNT(Raw_Data!I2:I1000),"-")</f>
        <v>0.666666666666667</v>
      </c>
      <c r="H5" s="10" t="n">
        <f aca="false">IFERROR((COUNTIF(Raw_Data!I2:I1000,1)+COUNTIF(Raw_Data!I2:I1000,2))/COUNT(Raw_Data!I2:I1000),"-")</f>
        <v>0</v>
      </c>
    </row>
    <row r="6" customFormat="false" ht="15" hidden="false" customHeight="true" outlineLevel="0" collapsed="false">
      <c r="A6" s="6" t="s">
        <v>89</v>
      </c>
      <c r="B6" s="7" t="s">
        <v>90</v>
      </c>
      <c r="C6" s="8" t="n">
        <f aca="false">COUNT(Raw_Data!J2:J1000)</f>
        <v>3</v>
      </c>
      <c r="D6" s="9" t="n">
        <f aca="false">IFERROR(AVERAGE(Raw_Data!J2:J1000),"-")</f>
        <v>3.33333333333333</v>
      </c>
      <c r="E6" s="9" t="n">
        <f aca="false">IFERROR(MEDIAN(Raw_Data!J2:J1000),"-")</f>
        <v>4</v>
      </c>
      <c r="F6" s="8" t="n">
        <f aca="false">IFERROR(MODE(Raw_Data!J2:J1000),"-")</f>
        <v>4</v>
      </c>
      <c r="G6" s="10" t="n">
        <f aca="false">IFERROR((COUNTIF(Raw_Data!J2:J1000,4)+COUNTIF(Raw_Data!J2:J1000,5))/COUNT(Raw_Data!J2:J1000),"-")</f>
        <v>0.666666666666667</v>
      </c>
      <c r="H6" s="10" t="n">
        <f aca="false">IFERROR((COUNTIF(Raw_Data!J2:J1000,1)+COUNTIF(Raw_Data!J2:J1000,2))/COUNT(Raw_Data!J2:J1000),"-")</f>
        <v>0.333333333333333</v>
      </c>
    </row>
    <row r="7" customFormat="false" ht="15" hidden="false" customHeight="true" outlineLevel="0" collapsed="false">
      <c r="A7" s="6" t="s">
        <v>91</v>
      </c>
      <c r="B7" s="7" t="s">
        <v>92</v>
      </c>
      <c r="C7" s="8" t="n">
        <f aca="false">COUNT(Raw_Data!K2:K1000)</f>
        <v>3</v>
      </c>
      <c r="D7" s="9" t="n">
        <f aca="false">IFERROR(AVERAGE(Raw_Data!K2:K1000),"-")</f>
        <v>3.33333333333333</v>
      </c>
      <c r="E7" s="9" t="n">
        <f aca="false">IFERROR(MEDIAN(Raw_Data!K2:K1000),"-")</f>
        <v>3</v>
      </c>
      <c r="F7" s="8" t="n">
        <f aca="false">IFERROR(MODE(Raw_Data!K2:K1000),"-")</f>
        <v>3</v>
      </c>
      <c r="G7" s="10" t="n">
        <f aca="false">IFERROR((COUNTIF(Raw_Data!K2:K1000,4)+COUNTIF(Raw_Data!K2:K1000,5))/COUNT(Raw_Data!K2:K1000),"-")</f>
        <v>0.333333333333333</v>
      </c>
      <c r="H7" s="10" t="n">
        <f aca="false">IFERROR((COUNTIF(Raw_Data!K2:K1000,1)+COUNTIF(Raw_Data!K2:K1000,2))/COUNT(Raw_Data!K2:K1000),"-")</f>
        <v>0</v>
      </c>
    </row>
    <row r="8" customFormat="false" ht="15" hidden="false" customHeight="true" outlineLevel="0" collapsed="false">
      <c r="A8" s="6" t="s">
        <v>93</v>
      </c>
      <c r="B8" s="7" t="s">
        <v>94</v>
      </c>
      <c r="C8" s="8" t="n">
        <f aca="false">COUNT(Raw_Data!L2:L1000)</f>
        <v>3</v>
      </c>
      <c r="D8" s="9" t="n">
        <f aca="false">IFERROR(AVERAGE(Raw_Data!L2:L1000),"-")</f>
        <v>3.66666666666667</v>
      </c>
      <c r="E8" s="9" t="n">
        <f aca="false">IFERROR(MEDIAN(Raw_Data!L2:L1000),"-")</f>
        <v>4</v>
      </c>
      <c r="F8" s="8" t="str">
        <f aca="false">IFERROR(MODE(Raw_Data!L2:L1000),"-")</f>
        <v>-</v>
      </c>
      <c r="G8" s="10" t="n">
        <f aca="false">IFERROR((COUNTIF(Raw_Data!L2:L1000,4)+COUNTIF(Raw_Data!L2:L1000,5))/COUNT(Raw_Data!L2:L1000),"-")</f>
        <v>0.666666666666667</v>
      </c>
      <c r="H8" s="10" t="n">
        <f aca="false">IFERROR((COUNTIF(Raw_Data!L2:L1000,1)+COUNTIF(Raw_Data!L2:L1000,2))/COUNT(Raw_Data!L2:L1000),"-")</f>
        <v>0.333333333333333</v>
      </c>
    </row>
    <row r="11" customFormat="false" ht="17.25" hidden="false" customHeight="true" outlineLevel="0" collapsed="false">
      <c r="A11" s="2" t="s">
        <v>95</v>
      </c>
      <c r="B11" s="2"/>
      <c r="C11" s="2"/>
      <c r="D11" s="2"/>
      <c r="E11" s="2"/>
      <c r="F11" s="2"/>
      <c r="G11" s="2"/>
      <c r="H11" s="2"/>
    </row>
    <row r="13" customFormat="false" ht="26.25" hidden="false" customHeight="true" outlineLevel="0" collapsed="false">
      <c r="A13" s="5" t="s">
        <v>77</v>
      </c>
      <c r="B13" s="5" t="s">
        <v>96</v>
      </c>
      <c r="C13" s="5" t="s">
        <v>97</v>
      </c>
      <c r="D13" s="5" t="s">
        <v>98</v>
      </c>
      <c r="E13" s="5" t="s">
        <v>99</v>
      </c>
      <c r="F13" s="5" t="s">
        <v>100</v>
      </c>
      <c r="G13" s="5" t="s">
        <v>101</v>
      </c>
    </row>
    <row r="14" customFormat="false" ht="15" hidden="false" customHeight="true" outlineLevel="0" collapsed="false">
      <c r="A14" s="6" t="s">
        <v>85</v>
      </c>
      <c r="B14" s="8" t="n">
        <f aca="false">COUNTIF(Raw_Data!G2:G1000,1)</f>
        <v>0</v>
      </c>
      <c r="C14" s="8" t="n">
        <f aca="false">COUNTIF(Raw_Data!G2:G1000,2)</f>
        <v>1</v>
      </c>
      <c r="D14" s="8" t="n">
        <f aca="false">COUNTIF(Raw_Data!G2:G1000,3)</f>
        <v>1</v>
      </c>
      <c r="E14" s="8" t="n">
        <f aca="false">COUNTIF(Raw_Data!G2:G1000,4)</f>
        <v>1</v>
      </c>
      <c r="F14" s="8" t="n">
        <f aca="false">COUNTIF(Raw_Data!G2:G1000,5)</f>
        <v>0</v>
      </c>
      <c r="G14" s="8" t="n">
        <f aca="false">SUM(B14:F14)</f>
        <v>3</v>
      </c>
    </row>
    <row r="15" customFormat="false" ht="15" hidden="false" customHeight="true" outlineLevel="0" collapsed="false">
      <c r="A15" s="6" t="s">
        <v>87</v>
      </c>
      <c r="B15" s="8" t="n">
        <f aca="false">COUNTIF(Raw_Data!I2:I1000,1)</f>
        <v>0</v>
      </c>
      <c r="C15" s="8" t="n">
        <f aca="false">COUNTIF(Raw_Data!I2:I1000,2)</f>
        <v>0</v>
      </c>
      <c r="D15" s="8" t="n">
        <f aca="false">COUNTIF(Raw_Data!I2:I1000,3)</f>
        <v>1</v>
      </c>
      <c r="E15" s="8" t="n">
        <f aca="false">COUNTIF(Raw_Data!I2:I1000,4)</f>
        <v>2</v>
      </c>
      <c r="F15" s="8" t="n">
        <f aca="false">COUNTIF(Raw_Data!I2:I1000,5)</f>
        <v>0</v>
      </c>
      <c r="G15" s="8" t="n">
        <f aca="false">SUM(B15:F15)</f>
        <v>3</v>
      </c>
    </row>
    <row r="16" customFormat="false" ht="15" hidden="false" customHeight="true" outlineLevel="0" collapsed="false">
      <c r="A16" s="6" t="s">
        <v>89</v>
      </c>
      <c r="B16" s="8" t="n">
        <f aca="false">COUNTIF(Raw_Data!J2:J1000,1)</f>
        <v>0</v>
      </c>
      <c r="C16" s="8" t="n">
        <f aca="false">COUNTIF(Raw_Data!J2:J1000,2)</f>
        <v>1</v>
      </c>
      <c r="D16" s="8" t="n">
        <f aca="false">COUNTIF(Raw_Data!J2:J1000,3)</f>
        <v>0</v>
      </c>
      <c r="E16" s="8" t="n">
        <f aca="false">COUNTIF(Raw_Data!J2:J1000,4)</f>
        <v>2</v>
      </c>
      <c r="F16" s="8" t="n">
        <f aca="false">COUNTIF(Raw_Data!J2:J1000,5)</f>
        <v>0</v>
      </c>
      <c r="G16" s="8" t="n">
        <f aca="false">SUM(B16:F16)</f>
        <v>3</v>
      </c>
    </row>
    <row r="17" customFormat="false" ht="15" hidden="false" customHeight="true" outlineLevel="0" collapsed="false">
      <c r="A17" s="6" t="s">
        <v>91</v>
      </c>
      <c r="B17" s="8" t="n">
        <f aca="false">COUNTIF(Raw_Data!K2:K1000,1)</f>
        <v>0</v>
      </c>
      <c r="C17" s="8" t="n">
        <f aca="false">COUNTIF(Raw_Data!K2:K1000,2)</f>
        <v>0</v>
      </c>
      <c r="D17" s="8" t="n">
        <f aca="false">COUNTIF(Raw_Data!K2:K1000,3)</f>
        <v>2</v>
      </c>
      <c r="E17" s="8" t="n">
        <f aca="false">COUNTIF(Raw_Data!K2:K1000,4)</f>
        <v>1</v>
      </c>
      <c r="F17" s="8" t="n">
        <f aca="false">COUNTIF(Raw_Data!K2:K1000,5)</f>
        <v>0</v>
      </c>
      <c r="G17" s="8" t="n">
        <f aca="false">SUM(B17:F17)</f>
        <v>3</v>
      </c>
    </row>
    <row r="18" customFormat="false" ht="15" hidden="false" customHeight="true" outlineLevel="0" collapsed="false">
      <c r="A18" s="6" t="s">
        <v>93</v>
      </c>
      <c r="B18" s="8" t="n">
        <f aca="false">COUNTIF(Raw_Data!L2:L1000,1)</f>
        <v>0</v>
      </c>
      <c r="C18" s="8" t="n">
        <f aca="false">COUNTIF(Raw_Data!L2:L1000,2)</f>
        <v>1</v>
      </c>
      <c r="D18" s="8" t="n">
        <f aca="false">COUNTIF(Raw_Data!L2:L1000,3)</f>
        <v>0</v>
      </c>
      <c r="E18" s="8" t="n">
        <f aca="false">COUNTIF(Raw_Data!L2:L1000,4)</f>
        <v>1</v>
      </c>
      <c r="F18" s="8" t="n">
        <f aca="false">COUNTIF(Raw_Data!L2:L1000,5)</f>
        <v>1</v>
      </c>
      <c r="G18" s="8" t="n">
        <f aca="false">SUM(B18:F18)</f>
        <v>3</v>
      </c>
    </row>
  </sheetData>
  <mergeCells count="2">
    <mergeCell ref="A1:H1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15"/>
  </cols>
  <sheetData>
    <row r="1" customFormat="false" ht="17.25" hidden="false" customHeight="true" outlineLevel="0" collapsed="false">
      <c r="A1" s="2" t="s">
        <v>102</v>
      </c>
      <c r="B1" s="2"/>
      <c r="C1" s="2"/>
      <c r="D1" s="2"/>
    </row>
    <row r="3" customFormat="false" ht="15" hidden="false" customHeight="true" outlineLevel="0" collapsed="false">
      <c r="A3" s="4" t="s">
        <v>103</v>
      </c>
    </row>
    <row r="4" customFormat="false" ht="15" hidden="false" customHeight="true" outlineLevel="0" collapsed="false">
      <c r="A4" s="5" t="s">
        <v>104</v>
      </c>
      <c r="B4" s="5" t="s">
        <v>105</v>
      </c>
      <c r="C4" s="5" t="s">
        <v>106</v>
      </c>
    </row>
    <row r="5" customFormat="false" ht="15" hidden="false" customHeight="true" outlineLevel="0" collapsed="false">
      <c r="A5" s="11" t="s">
        <v>58</v>
      </c>
      <c r="B5" s="12" t="n">
        <f aca="false">COUNTIF(Raw_Data!B2:B1000,A5)</f>
        <v>1</v>
      </c>
      <c r="C5" s="13" t="n">
        <f aca="false">IFERROR(B5/COUNTA(Raw_Data!B2:B1000),0)</f>
        <v>0.333333333333333</v>
      </c>
    </row>
    <row r="6" customFormat="false" ht="15" hidden="false" customHeight="true" outlineLevel="0" collapsed="false">
      <c r="A6" s="11" t="s">
        <v>107</v>
      </c>
      <c r="B6" s="12" t="n">
        <f aca="false">COUNTIF(Raw_Data!B2:B1000,A6)</f>
        <v>0</v>
      </c>
      <c r="C6" s="13" t="n">
        <f aca="false">IFERROR(B6/COUNTA(Raw_Data!B2:B1000),0)</f>
        <v>0</v>
      </c>
    </row>
    <row r="7" customFormat="false" ht="15" hidden="false" customHeight="true" outlineLevel="0" collapsed="false">
      <c r="A7" s="11" t="s">
        <v>67</v>
      </c>
      <c r="B7" s="12" t="n">
        <f aca="false">COUNTIF(Raw_Data!B2:B1000,A7)</f>
        <v>1</v>
      </c>
      <c r="C7" s="13" t="n">
        <f aca="false">IFERROR(B7/COUNTA(Raw_Data!B2:B1000),0)</f>
        <v>0.333333333333333</v>
      </c>
    </row>
    <row r="8" customFormat="false" ht="15" hidden="false" customHeight="true" outlineLevel="0" collapsed="false">
      <c r="A8" s="11" t="s">
        <v>108</v>
      </c>
      <c r="B8" s="12" t="n">
        <f aca="false">COUNTIF(Raw_Data!B2:B1000,A8)</f>
        <v>0</v>
      </c>
      <c r="C8" s="13" t="n">
        <f aca="false">IFERROR(B8/COUNTA(Raw_Data!B2:B1000),0)</f>
        <v>0</v>
      </c>
    </row>
    <row r="9" customFormat="false" ht="15" hidden="false" customHeight="true" outlineLevel="0" collapsed="false">
      <c r="A9" s="11" t="s">
        <v>46</v>
      </c>
      <c r="B9" s="12" t="n">
        <f aca="false">COUNTIF(Raw_Data!B2:B1000,A9)</f>
        <v>1</v>
      </c>
      <c r="C9" s="13" t="n">
        <f aca="false">IFERROR(B9/COUNTA(Raw_Data!B2:B1000),0)</f>
        <v>0.333333333333333</v>
      </c>
    </row>
    <row r="10" customFormat="false" ht="15" hidden="false" customHeight="true" outlineLevel="0" collapsed="false">
      <c r="A10" s="11" t="s">
        <v>109</v>
      </c>
      <c r="B10" s="12" t="n">
        <f aca="false">COUNTIF(Raw_Data!B2:B1000,A10)</f>
        <v>0</v>
      </c>
      <c r="C10" s="13" t="n">
        <f aca="false">IFERROR(B10/COUNTA(Raw_Data!B2:B1000),0)</f>
        <v>0</v>
      </c>
    </row>
    <row r="13" customFormat="false" ht="15" hidden="false" customHeight="true" outlineLevel="0" collapsed="false">
      <c r="A13" s="4" t="s">
        <v>110</v>
      </c>
    </row>
    <row r="14" customFormat="false" ht="15" hidden="false" customHeight="true" outlineLevel="0" collapsed="false">
      <c r="A14" s="5" t="s">
        <v>104</v>
      </c>
      <c r="B14" s="5" t="s">
        <v>105</v>
      </c>
      <c r="C14" s="5" t="s">
        <v>106</v>
      </c>
    </row>
    <row r="15" customFormat="false" ht="15" hidden="false" customHeight="true" outlineLevel="0" collapsed="false">
      <c r="A15" s="11" t="s">
        <v>47</v>
      </c>
      <c r="B15" s="12" t="n">
        <f aca="false">COUNTIF(Raw_Data!C2:C1000,A15)</f>
        <v>1</v>
      </c>
      <c r="C15" s="13" t="n">
        <f aca="false">IFERROR(B15/COUNTA(Raw_Data!C2:C1000),0)</f>
        <v>0.333333333333333</v>
      </c>
    </row>
    <row r="16" customFormat="false" ht="15" hidden="false" customHeight="true" outlineLevel="0" collapsed="false">
      <c r="A16" s="11" t="s">
        <v>111</v>
      </c>
      <c r="B16" s="12" t="n">
        <f aca="false">COUNTIF(Raw_Data!C2:C1000,A16)</f>
        <v>0</v>
      </c>
      <c r="C16" s="13" t="n">
        <f aca="false">IFERROR(B16/COUNTA(Raw_Data!C2:C1000),0)</f>
        <v>0</v>
      </c>
    </row>
    <row r="17" customFormat="false" ht="15" hidden="false" customHeight="true" outlineLevel="0" collapsed="false">
      <c r="A17" s="11" t="s">
        <v>59</v>
      </c>
      <c r="B17" s="12" t="n">
        <f aca="false">COUNTIF(Raw_Data!C2:C1000,A17)</f>
        <v>1</v>
      </c>
      <c r="C17" s="13" t="n">
        <f aca="false">IFERROR(B17/COUNTA(Raw_Data!C2:C1000),0)</f>
        <v>0.333333333333333</v>
      </c>
    </row>
    <row r="18" customFormat="false" ht="15" hidden="false" customHeight="true" outlineLevel="0" collapsed="false">
      <c r="A18" s="11" t="s">
        <v>68</v>
      </c>
      <c r="B18" s="12" t="n">
        <f aca="false">COUNTIF(Raw_Data!C2:C1000,A18)</f>
        <v>1</v>
      </c>
      <c r="C18" s="13" t="n">
        <f aca="false">IFERROR(B18/COUNTA(Raw_Data!C2:C1000),0)</f>
        <v>0.333333333333333</v>
      </c>
    </row>
    <row r="19" customFormat="false" ht="15" hidden="false" customHeight="true" outlineLevel="0" collapsed="false">
      <c r="A19" s="11" t="s">
        <v>46</v>
      </c>
      <c r="B19" s="12" t="n">
        <f aca="false">COUNTIF(Raw_Data!C2:C1000,A19)</f>
        <v>0</v>
      </c>
      <c r="C19" s="13" t="n">
        <f aca="false">IFERROR(B19/COUNTA(Raw_Data!C2:C1000),0)</f>
        <v>0</v>
      </c>
    </row>
    <row r="20" customFormat="false" ht="15" hidden="false" customHeight="true" outlineLevel="0" collapsed="false">
      <c r="A20" s="11" t="s">
        <v>109</v>
      </c>
      <c r="B20" s="12" t="n">
        <f aca="false">COUNTIF(Raw_Data!C2:C1000,A20)</f>
        <v>0</v>
      </c>
      <c r="C20" s="13" t="n">
        <f aca="false">IFERROR(B20/COUNTA(Raw_Data!C2:C1000),0)</f>
        <v>0</v>
      </c>
    </row>
    <row r="23" customFormat="false" ht="15" hidden="false" customHeight="true" outlineLevel="0" collapsed="false">
      <c r="A23" s="4" t="s">
        <v>112</v>
      </c>
    </row>
    <row r="24" customFormat="false" ht="15" hidden="false" customHeight="true" outlineLevel="0" collapsed="false">
      <c r="A24" s="5" t="s">
        <v>104</v>
      </c>
      <c r="B24" s="5" t="s">
        <v>105</v>
      </c>
      <c r="C24" s="5" t="s">
        <v>106</v>
      </c>
    </row>
    <row r="25" customFormat="false" ht="15" hidden="false" customHeight="true" outlineLevel="0" collapsed="false">
      <c r="A25" s="11" t="s">
        <v>60</v>
      </c>
      <c r="B25" s="12" t="n">
        <f aca="false">COUNTIF(Raw_Data!D2:D1000,A25)</f>
        <v>2</v>
      </c>
      <c r="C25" s="13" t="n">
        <f aca="false">IFERROR(B25/COUNTA(Raw_Data!D2:D1000),0)</f>
        <v>0.666666666666667</v>
      </c>
    </row>
    <row r="26" customFormat="false" ht="15" hidden="false" customHeight="true" outlineLevel="0" collapsed="false">
      <c r="A26" s="11" t="s">
        <v>48</v>
      </c>
      <c r="B26" s="12" t="n">
        <f aca="false">COUNTIF(Raw_Data!D2:D1000,A26)</f>
        <v>1</v>
      </c>
      <c r="C26" s="13" t="n">
        <f aca="false">IFERROR(B26/COUNTA(Raw_Data!D2:D1000),0)</f>
        <v>0.333333333333333</v>
      </c>
    </row>
    <row r="27" customFormat="false" ht="15" hidden="false" customHeight="true" outlineLevel="0" collapsed="false">
      <c r="A27" s="11" t="s">
        <v>46</v>
      </c>
      <c r="B27" s="12" t="n">
        <f aca="false">COUNTIF(Raw_Data!D2:D1000,A27)</f>
        <v>0</v>
      </c>
      <c r="C27" s="13" t="n">
        <f aca="false">IFERROR(B27/COUNTA(Raw_Data!D2:D1000),0)</f>
        <v>0</v>
      </c>
    </row>
    <row r="28" customFormat="false" ht="15" hidden="false" customHeight="true" outlineLevel="0" collapsed="false">
      <c r="A28" s="11" t="s">
        <v>109</v>
      </c>
      <c r="B28" s="12" t="n">
        <f aca="false">COUNTIF(Raw_Data!D2:D1000,A28)</f>
        <v>0</v>
      </c>
      <c r="C28" s="13" t="n">
        <f aca="false">IFERROR(B28/COUNTA(Raw_Data!D2:D1000),0)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2"/>
    <col collapsed="false" customWidth="true" hidden="false" outlineLevel="0" max="3" min="3" style="1" width="15"/>
  </cols>
  <sheetData>
    <row r="1" customFormat="false" ht="17.25" hidden="false" customHeight="true" outlineLevel="0" collapsed="false">
      <c r="A1" s="2" t="s">
        <v>113</v>
      </c>
      <c r="B1" s="2"/>
      <c r="C1" s="2"/>
      <c r="D1" s="2"/>
    </row>
    <row r="3" customFormat="false" ht="15" hidden="false" customHeight="true" outlineLevel="0" collapsed="false">
      <c r="A3" s="5" t="s">
        <v>114</v>
      </c>
      <c r="B3" s="5" t="s">
        <v>105</v>
      </c>
      <c r="C3" s="5" t="s">
        <v>106</v>
      </c>
    </row>
    <row r="4" customFormat="false" ht="15" hidden="false" customHeight="true" outlineLevel="0" collapsed="false">
      <c r="A4" s="11" t="s">
        <v>52</v>
      </c>
      <c r="B4" s="12" t="n">
        <f aca="false">COUNTIF(Raw_Data!M2:M1000,A4)</f>
        <v>2</v>
      </c>
      <c r="C4" s="13" t="n">
        <f aca="false">IFERROR(B4/COUNTA(Raw_Data!M2:M1000),0)</f>
        <v>0.666666666666667</v>
      </c>
    </row>
    <row r="5" customFormat="false" ht="15" hidden="false" customHeight="true" outlineLevel="0" collapsed="false">
      <c r="A5" s="11" t="s">
        <v>115</v>
      </c>
      <c r="B5" s="12" t="n">
        <f aca="false">COUNTIF(Raw_Data!M2:M1000,A5)</f>
        <v>0</v>
      </c>
      <c r="C5" s="13" t="n">
        <f aca="false">IFERROR(B5/COUNTA(Raw_Data!M2:M1000),0)</f>
        <v>0</v>
      </c>
    </row>
    <row r="6" customFormat="false" ht="15" hidden="false" customHeight="true" outlineLevel="0" collapsed="false">
      <c r="A6" s="11" t="s">
        <v>116</v>
      </c>
      <c r="B6" s="12" t="n">
        <f aca="false">COUNTIF(Raw_Data!M2:M1000,A6)</f>
        <v>0</v>
      </c>
      <c r="C6" s="13" t="n">
        <f aca="false">IFERROR(B6/COUNTA(Raw_Data!M2:M1000),0)</f>
        <v>0</v>
      </c>
    </row>
    <row r="7" customFormat="false" ht="15" hidden="false" customHeight="true" outlineLevel="0" collapsed="false">
      <c r="A7" s="11" t="s">
        <v>117</v>
      </c>
      <c r="B7" s="12" t="n">
        <f aca="false">COUNTIF(Raw_Data!M2:M1000,A7)</f>
        <v>0</v>
      </c>
      <c r="C7" s="13" t="n">
        <f aca="false">IFERROR(B7/COUNTA(Raw_Data!M2:M1000),0)</f>
        <v>0</v>
      </c>
    </row>
    <row r="8" customFormat="false" ht="15" hidden="false" customHeight="true" outlineLevel="0" collapsed="false">
      <c r="A8" s="11" t="s">
        <v>71</v>
      </c>
      <c r="B8" s="12" t="n">
        <f aca="false">COUNTIF(Raw_Data!M2:M1000,A8)</f>
        <v>1</v>
      </c>
      <c r="C8" s="13" t="n">
        <f aca="false">IFERROR(B8/COUNTA(Raw_Data!M2:M1000),0)</f>
        <v>0.333333333333333</v>
      </c>
    </row>
    <row r="9" customFormat="false" ht="15" hidden="false" customHeight="true" outlineLevel="0" collapsed="false">
      <c r="A9" s="11" t="s">
        <v>118</v>
      </c>
      <c r="B9" s="12" t="n">
        <f aca="false">COUNTIF(Raw_Data!M2:M1000,A9)</f>
        <v>0</v>
      </c>
      <c r="C9" s="13" t="n">
        <f aca="false">IFERROR(B9/COUNTA(Raw_Data!M2:M1000),0)</f>
        <v>0</v>
      </c>
    </row>
    <row r="10" customFormat="false" ht="15" hidden="false" customHeight="true" outlineLevel="0" collapsed="false">
      <c r="A10" s="11" t="s">
        <v>119</v>
      </c>
      <c r="B10" s="12" t="n">
        <f aca="false">COUNTIF(Raw_Data!M2:M1000,A10)</f>
        <v>0</v>
      </c>
      <c r="C10" s="13" t="n">
        <f aca="false">IFERROR(B10/COUNTA(Raw_Data!M2:M1000),0)</f>
        <v>0</v>
      </c>
    </row>
    <row r="11" customFormat="false" ht="15" hidden="false" customHeight="true" outlineLevel="0" collapsed="false">
      <c r="A11" s="11" t="s">
        <v>120</v>
      </c>
      <c r="B11" s="12" t="n">
        <f aca="false">COUNTIF(Raw_Data!M2:M1000,A11)</f>
        <v>0</v>
      </c>
      <c r="C11" s="13" t="n">
        <f aca="false">IFERROR(B11/COUNTA(Raw_Data!M2:M1000),0)</f>
        <v>0</v>
      </c>
    </row>
    <row r="15" customFormat="false" ht="17.25" hidden="false" customHeight="true" outlineLevel="0" collapsed="false">
      <c r="A15" s="2" t="s">
        <v>121</v>
      </c>
      <c r="B15" s="2"/>
      <c r="C15" s="2"/>
      <c r="D15" s="2"/>
    </row>
    <row r="17" customFormat="false" ht="15" hidden="false" customHeight="true" outlineLevel="0" collapsed="false">
      <c r="A17" s="5" t="s">
        <v>122</v>
      </c>
      <c r="B17" s="5" t="s">
        <v>105</v>
      </c>
      <c r="C17" s="5" t="s">
        <v>106</v>
      </c>
    </row>
    <row r="18" customFormat="false" ht="15" hidden="false" customHeight="true" outlineLevel="0" collapsed="false">
      <c r="A18" s="11" t="s">
        <v>73</v>
      </c>
      <c r="B18" s="12" t="n">
        <f aca="false">COUNTIF(Raw_Data!O2:O1000,A18)</f>
        <v>1</v>
      </c>
      <c r="C18" s="13" t="n">
        <f aca="false">IFERROR(B18/COUNTA(Raw_Data!O2:O1000),0)</f>
        <v>0.333333333333333</v>
      </c>
    </row>
    <row r="19" customFormat="false" ht="15" hidden="false" customHeight="true" outlineLevel="0" collapsed="false">
      <c r="A19" s="11" t="s">
        <v>123</v>
      </c>
      <c r="B19" s="12" t="n">
        <f aca="false">COUNTIF(Raw_Data!O2:O1000,A19)</f>
        <v>0</v>
      </c>
      <c r="C19" s="13" t="n">
        <f aca="false">IFERROR(B19/COUNTA(Raw_Data!O2:O1000),0)</f>
        <v>0</v>
      </c>
    </row>
    <row r="20" customFormat="false" ht="15" hidden="false" customHeight="true" outlineLevel="0" collapsed="false">
      <c r="A20" s="11" t="s">
        <v>124</v>
      </c>
      <c r="B20" s="12" t="n">
        <f aca="false">COUNTIF(Raw_Data!O2:O1000,A20)</f>
        <v>0</v>
      </c>
      <c r="C20" s="13" t="n">
        <f aca="false">IFERROR(B20/COUNTA(Raw_Data!O2:O1000),0)</f>
        <v>0</v>
      </c>
    </row>
    <row r="21" customFormat="false" ht="15" hidden="false" customHeight="true" outlineLevel="0" collapsed="false">
      <c r="A21" s="11" t="s">
        <v>54</v>
      </c>
      <c r="B21" s="12" t="n">
        <f aca="false">COUNTIF(Raw_Data!O2:O1000,A21)</f>
        <v>2</v>
      </c>
      <c r="C21" s="13" t="n">
        <f aca="false">IFERROR(B21/COUNTA(Raw_Data!O2:O1000),0)</f>
        <v>0.666666666666667</v>
      </c>
    </row>
    <row r="22" customFormat="false" ht="15" hidden="false" customHeight="true" outlineLevel="0" collapsed="false">
      <c r="A22" s="11" t="s">
        <v>125</v>
      </c>
      <c r="B22" s="12" t="n">
        <f aca="false">COUNTIF(Raw_Data!O2:O1000,A22)</f>
        <v>0</v>
      </c>
      <c r="C22" s="13" t="n">
        <f aca="false">IFERROR(B22/COUNTA(Raw_Data!O2:O1000),0)</f>
        <v>0</v>
      </c>
    </row>
    <row r="23" customFormat="false" ht="15" hidden="false" customHeight="true" outlineLevel="0" collapsed="false">
      <c r="A23" s="11" t="s">
        <v>126</v>
      </c>
      <c r="B23" s="12" t="n">
        <f aca="false">COUNTIF(Raw_Data!O2:O1000,A23)</f>
        <v>0</v>
      </c>
      <c r="C23" s="13" t="n">
        <f aca="false">IFERROR(B23/COUNTA(Raw_Data!O2:O1000),0)</f>
        <v>0</v>
      </c>
    </row>
  </sheetData>
  <mergeCells count="2">
    <mergeCell ref="A1:D1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5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2" t="s">
        <v>127</v>
      </c>
      <c r="B1" s="2"/>
      <c r="C1" s="2"/>
    </row>
    <row r="3" customFormat="false" ht="15" hidden="false" customHeight="true" outlineLevel="0" collapsed="false">
      <c r="A3" s="5" t="s">
        <v>128</v>
      </c>
      <c r="B3" s="5" t="s">
        <v>129</v>
      </c>
      <c r="C3" s="5" t="s">
        <v>130</v>
      </c>
    </row>
    <row r="4" customFormat="false" ht="15" hidden="false" customHeight="true" outlineLevel="0" collapsed="false">
      <c r="A4" s="11" t="s">
        <v>131</v>
      </c>
      <c r="B4" s="6" t="n">
        <f aca="false">COUNTA(Raw_Data!A2:A1000)</f>
        <v>3</v>
      </c>
      <c r="C4" s="11" t="s">
        <v>132</v>
      </c>
    </row>
    <row r="5" customFormat="false" ht="15" hidden="false" customHeight="true" outlineLevel="0" collapsed="false">
      <c r="A5" s="11" t="s">
        <v>133</v>
      </c>
      <c r="B5" s="14" t="n">
        <f aca="false">IFERROR(COUNTIF(Raw_Data!E2:E1000,"Yes")/COUNTA(Raw_Data!E2:E1000),"-")</f>
        <v>0.666666666666667</v>
      </c>
      <c r="C5" s="11" t="s">
        <v>134</v>
      </c>
    </row>
    <row r="6" customFormat="false" ht="15" hidden="false" customHeight="true" outlineLevel="0" collapsed="false">
      <c r="A6" s="11" t="s">
        <v>135</v>
      </c>
      <c r="B6" s="14" t="n">
        <f aca="false">IFERROR(COUNTIF(Raw_Data!E2:E1000,"Not sure")/COUNTA(Raw_Data!E2:E1000),"-")</f>
        <v>0.333333333333333</v>
      </c>
      <c r="C6" s="11" t="s">
        <v>136</v>
      </c>
    </row>
    <row r="7" customFormat="false" ht="15" hidden="false" customHeight="true" outlineLevel="0" collapsed="false">
      <c r="A7" s="11" t="s">
        <v>137</v>
      </c>
      <c r="B7" s="15" t="n">
        <f aca="false">Analysis!D4</f>
        <v>3</v>
      </c>
      <c r="C7" s="11" t="s">
        <v>138</v>
      </c>
    </row>
    <row r="8" customFormat="false" ht="15" hidden="false" customHeight="true" outlineLevel="0" collapsed="false">
      <c r="A8" s="11" t="s">
        <v>139</v>
      </c>
      <c r="B8" s="14" t="n">
        <f aca="false">Analysis!G5</f>
        <v>0.666666666666667</v>
      </c>
      <c r="C8" s="11" t="s">
        <v>140</v>
      </c>
    </row>
    <row r="9" customFormat="false" ht="15" hidden="false" customHeight="true" outlineLevel="0" collapsed="false">
      <c r="A9" s="11" t="s">
        <v>141</v>
      </c>
      <c r="B9" s="14" t="n">
        <f aca="false">Analysis!G6</f>
        <v>0.666666666666667</v>
      </c>
      <c r="C9" s="11" t="s">
        <v>142</v>
      </c>
    </row>
    <row r="10" customFormat="false" ht="15" hidden="false" customHeight="true" outlineLevel="0" collapsed="false">
      <c r="A10" s="11" t="s">
        <v>143</v>
      </c>
      <c r="B10" s="14" t="n">
        <f aca="false">Analysis!G7</f>
        <v>0.333333333333333</v>
      </c>
      <c r="C10" s="11" t="s">
        <v>140</v>
      </c>
    </row>
    <row r="11" customFormat="false" ht="15" hidden="false" customHeight="true" outlineLevel="0" collapsed="false">
      <c r="A11" s="11" t="s">
        <v>144</v>
      </c>
      <c r="B11" s="14" t="n">
        <f aca="false">Analysis!G8</f>
        <v>0.666666666666667</v>
      </c>
      <c r="C11" s="11" t="s">
        <v>140</v>
      </c>
    </row>
    <row r="12" customFormat="false" ht="15" hidden="false" customHeight="true" outlineLevel="0" collapsed="false">
      <c r="A12" s="11" t="s">
        <v>145</v>
      </c>
      <c r="B12" s="6" t="n">
        <f aca="false">MAX(Barriers!B4:B11)</f>
        <v>2</v>
      </c>
      <c r="C12" s="11" t="s">
        <v>146</v>
      </c>
    </row>
    <row r="13" customFormat="false" ht="15" hidden="false" customHeight="true" outlineLevel="0" collapsed="false">
      <c r="A13" s="11" t="s">
        <v>147</v>
      </c>
      <c r="B13" s="6" t="n">
        <f aca="false">MAX(Barriers!B18:B23)</f>
        <v>2</v>
      </c>
      <c r="C13" s="11" t="s">
        <v>148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2026-07-18T00:02:52Z</dcterms:created>
  <dc:creator>openpyxl</dc:creator>
  <dc:description/>
  <dc:language>en-US</dc:language>
  <cp:lastModifiedBy/>
  <dcterms:modified xsi:type="dcterms:W3CDTF">2026-07-18T00:04:30Z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